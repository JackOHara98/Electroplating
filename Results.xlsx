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dividual Project\Write-up\"/>
    </mc:Choice>
  </mc:AlternateContent>
  <xr:revisionPtr revIDLastSave="0" documentId="13_ncr:1_{D337E05D-EEAE-4C07-827D-0531944F3DF8}" xr6:coauthVersionLast="47" xr6:coauthVersionMax="47" xr10:uidLastSave="{00000000-0000-0000-0000-000000000000}"/>
  <bookViews>
    <workbookView xWindow="-110" yWindow="-110" windowWidth="38620" windowHeight="21100" xr2:uid="{FD0BED6C-D400-47A9-8522-73C5F99B12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C10" i="1"/>
  <c r="D10" i="1"/>
  <c r="E10" i="1"/>
</calcChain>
</file>

<file path=xl/sharedStrings.xml><?xml version="1.0" encoding="utf-8"?>
<sst xmlns="http://schemas.openxmlformats.org/spreadsheetml/2006/main" count="85" uniqueCount="41">
  <si>
    <t xml:space="preserve">Name </t>
  </si>
  <si>
    <t xml:space="preserve">A </t>
  </si>
  <si>
    <t>B</t>
  </si>
  <si>
    <t>C</t>
  </si>
  <si>
    <t xml:space="preserve">First run at 1 volt for 1 hour </t>
  </si>
  <si>
    <t>Surface area (mm2)</t>
  </si>
  <si>
    <t>Weight prior to plating (g)</t>
  </si>
  <si>
    <t>Weight after plating (g)</t>
  </si>
  <si>
    <t xml:space="preserve">Third run at 1 Volt for 1 hour </t>
  </si>
  <si>
    <t xml:space="preserve">Second run at 1 Volt for 1 hour </t>
  </si>
  <si>
    <t xml:space="preserve">Plastic with paint </t>
  </si>
  <si>
    <t>A</t>
  </si>
  <si>
    <t>Weight (grams)</t>
  </si>
  <si>
    <t xml:space="preserve">Height (mm) </t>
  </si>
  <si>
    <t>Diameter (mm)</t>
  </si>
  <si>
    <t>Weight prior to next plating (g)</t>
  </si>
  <si>
    <t>Radius (mm)</t>
  </si>
  <si>
    <t>Theoretical Thickness (um)</t>
  </si>
  <si>
    <t>Actual Thickness  (um)</t>
  </si>
  <si>
    <t>Difference in percent (%)</t>
  </si>
  <si>
    <t>Current Efficiency (%)</t>
  </si>
  <si>
    <t>Rate of plating (um)</t>
  </si>
  <si>
    <t xml:space="preserve">Percentage error </t>
  </si>
  <si>
    <t>D</t>
  </si>
  <si>
    <t>E</t>
  </si>
  <si>
    <t>F</t>
  </si>
  <si>
    <t>1st hour</t>
  </si>
  <si>
    <t>2nd hour</t>
  </si>
  <si>
    <t>3rd hour</t>
  </si>
  <si>
    <t>Volume of distilled water (dm3)</t>
  </si>
  <si>
    <t>Moles of Copper (ii) Sulphate (Mol)</t>
  </si>
  <si>
    <t>Weight of Copper (ii) Sulphate (g)</t>
  </si>
  <si>
    <t>Percentage weight increase overall (%)</t>
  </si>
  <si>
    <t xml:space="preserve">1st experiment </t>
  </si>
  <si>
    <t>2nd experiment</t>
  </si>
  <si>
    <t xml:space="preserve">D </t>
  </si>
  <si>
    <t xml:space="preserve">First run at 0.2 volt for 1 hour </t>
  </si>
  <si>
    <t xml:space="preserve">Second run at 0.2 Volt for 1 hour </t>
  </si>
  <si>
    <t xml:space="preserve">Third run at 0.2 Volt for 1 hour </t>
  </si>
  <si>
    <t>Resistance of copper plating</t>
  </si>
  <si>
    <t>Concentration (mol/dm3)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</si>
</sst>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This chart shows the thicknes</a:t>
            </a:r>
            <a:r>
              <a:rPr lang="en-GB" baseline="0"/>
              <a:t>s from actual and theoretical calculations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Theoretical Thickness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Sheet1!$C$8:$H$8</c:f>
              <c:numCache>
                <c:formatCode>General</c:formatCode>
                <c:ptCount val="6"/>
                <c:pt idx="0">
                  <c:v>86.505099999999999</c:v>
                </c:pt>
                <c:pt idx="1">
                  <c:v>79.090299999999999</c:v>
                </c:pt>
                <c:pt idx="2">
                  <c:v>174.24119999999999</c:v>
                </c:pt>
                <c:pt idx="3">
                  <c:v>86.505099999999999</c:v>
                </c:pt>
                <c:pt idx="4">
                  <c:v>79.090299999999999</c:v>
                </c:pt>
                <c:pt idx="5">
                  <c:v>174.24119999999999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F-41B4-8761-8AF69410C916}"/>
            </c:ext>
          </c:extLst>
        </c:ser>
        <c:ser>
          <c:idx val="1"/>
          <c:order val="1"/>
          <c:tx>
            <c:v>Actual Thickness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Sheet1!$C$9:$H$9</c:f>
              <c:numCache>
                <c:formatCode>General</c:formatCode>
                <c:ptCount val="6"/>
                <c:pt idx="0">
                  <c:v>175</c:v>
                </c:pt>
                <c:pt idx="1">
                  <c:v>189.9</c:v>
                </c:pt>
                <c:pt idx="2">
                  <c:v>173</c:v>
                </c:pt>
                <c:pt idx="3">
                  <c:v>111.3</c:v>
                </c:pt>
                <c:pt idx="4">
                  <c:v>75.900000000000006</c:v>
                </c:pt>
                <c:pt idx="5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F-41B4-8761-8AF69410C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176160"/>
        <c:axId val="228176992"/>
        <c:axId val="1053113072"/>
      </c:bar3DChart>
      <c:catAx>
        <c:axId val="228176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76992"/>
        <c:crosses val="autoZero"/>
        <c:auto val="1"/>
        <c:lblAlgn val="ctr"/>
        <c:lblOffset val="100"/>
        <c:noMultiLvlLbl val="0"/>
      </c:catAx>
      <c:valAx>
        <c:axId val="2281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76160"/>
        <c:crosses val="autoZero"/>
        <c:crossBetween val="between"/>
      </c:valAx>
      <c:serAx>
        <c:axId val="1053113072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crossAx val="2281769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142875</xdr:colOff>
      <xdr:row>13</xdr:row>
      <xdr:rowOff>90487</xdr:rowOff>
    </xdr:from>
    <xdr:to>
      <xdr:col>19</xdr:col>
      <xdr:colOff>152400</xdr:colOff>
      <xdr:row>27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D403F9-5FF7-4CD2-A896-FA9C4157C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0B8D-225A-44AB-93F0-D4F5DCA22E9B}">
  <dimension ref="A1:O36"/>
  <sheetViews>
    <sheetView tabSelected="1" workbookViewId="0">
      <selection activeCell="I9" sqref="I9"/>
    </sheetView>
  </sheetViews>
  <sheetFormatPr defaultRowHeight="14.5" x14ac:dyDescent="0.35"/>
  <cols>
    <col min="1" max="1" width="28.1796875" customWidth="1"/>
    <col min="2" max="2" width="9.1796875" customWidth="1"/>
    <col min="8" max="8" width="9.1796875" customWidth="1"/>
    <col min="9" max="9" width="29.1796875" customWidth="1"/>
    <col min="10" max="10" width="9.7265625" customWidth="1"/>
    <col min="12" max="12" width="9.7265625" customWidth="1"/>
    <col min="14" max="14" width="13" customWidth="1"/>
    <col min="15" max="15" width="18.81640625" customWidth="1"/>
  </cols>
  <sheetData>
    <row r="1" spans="1:15" x14ac:dyDescent="0.35">
      <c r="A1" s="14"/>
      <c r="B1" s="14"/>
    </row>
    <row r="2" spans="1:15" x14ac:dyDescent="0.35">
      <c r="A2" s="15" t="s">
        <v>10</v>
      </c>
      <c r="B2" s="15"/>
      <c r="C2" s="2" t="s">
        <v>11</v>
      </c>
      <c r="D2" s="2" t="s">
        <v>2</v>
      </c>
      <c r="E2" s="2" t="s">
        <v>3</v>
      </c>
      <c r="F2" s="2" t="s">
        <v>23</v>
      </c>
      <c r="G2" s="5" t="s">
        <v>24</v>
      </c>
      <c r="H2" s="5" t="s">
        <v>25</v>
      </c>
      <c r="I2" s="4"/>
      <c r="J2" s="4"/>
    </row>
    <row r="3" spans="1:15" x14ac:dyDescent="0.35">
      <c r="A3" s="15" t="s">
        <v>12</v>
      </c>
      <c r="B3" s="15"/>
      <c r="C3" s="2">
        <v>1.1000000000000001</v>
      </c>
      <c r="D3" s="2">
        <v>0.6</v>
      </c>
      <c r="E3" s="2">
        <v>0.2</v>
      </c>
      <c r="F3" s="2">
        <v>1.1000000000000001</v>
      </c>
      <c r="G3" s="2">
        <v>0.6</v>
      </c>
      <c r="H3" s="2">
        <v>0.2</v>
      </c>
      <c r="I3" s="6"/>
      <c r="J3" s="6"/>
    </row>
    <row r="4" spans="1:15" x14ac:dyDescent="0.35">
      <c r="A4" s="15" t="s">
        <v>13</v>
      </c>
      <c r="B4" s="15"/>
      <c r="C4" s="2">
        <v>24</v>
      </c>
      <c r="D4" s="2">
        <v>17.5</v>
      </c>
      <c r="E4" s="2">
        <v>12</v>
      </c>
      <c r="F4" s="2">
        <v>24</v>
      </c>
      <c r="G4" s="2">
        <v>17.5</v>
      </c>
      <c r="H4" s="2">
        <v>12</v>
      </c>
      <c r="I4" s="6"/>
      <c r="J4" s="6"/>
    </row>
    <row r="5" spans="1:15" x14ac:dyDescent="0.35">
      <c r="A5" s="15" t="s">
        <v>14</v>
      </c>
      <c r="B5" s="15"/>
      <c r="C5" s="2">
        <v>24</v>
      </c>
      <c r="D5" s="2">
        <v>18</v>
      </c>
      <c r="E5" s="2">
        <v>12</v>
      </c>
      <c r="F5" s="2">
        <v>24</v>
      </c>
      <c r="G5" s="2">
        <v>18</v>
      </c>
      <c r="H5" s="2">
        <v>12</v>
      </c>
      <c r="I5" s="6"/>
      <c r="J5" s="6"/>
      <c r="L5" s="6"/>
      <c r="M5" s="6"/>
      <c r="N5" s="6"/>
      <c r="O5" s="6"/>
    </row>
    <row r="6" spans="1:15" x14ac:dyDescent="0.35">
      <c r="A6" s="15" t="s">
        <v>16</v>
      </c>
      <c r="B6" s="15"/>
      <c r="C6" s="2">
        <v>12</v>
      </c>
      <c r="D6" s="2">
        <v>9</v>
      </c>
      <c r="E6" s="2">
        <v>6</v>
      </c>
      <c r="F6" s="2">
        <v>12</v>
      </c>
      <c r="G6" s="2">
        <v>9</v>
      </c>
      <c r="H6" s="2">
        <v>6</v>
      </c>
    </row>
    <row r="7" spans="1:15" x14ac:dyDescent="0.35">
      <c r="A7" s="15" t="s">
        <v>5</v>
      </c>
      <c r="B7" s="15"/>
      <c r="C7" s="2">
        <v>1809.55</v>
      </c>
      <c r="D7" s="2">
        <v>989.601</v>
      </c>
      <c r="E7" s="2">
        <v>452.38</v>
      </c>
      <c r="F7" s="2">
        <v>1809.55</v>
      </c>
      <c r="G7" s="2">
        <v>989.601</v>
      </c>
      <c r="H7" s="2">
        <v>452.38</v>
      </c>
    </row>
    <row r="8" spans="1:15" x14ac:dyDescent="0.35">
      <c r="A8" s="15" t="s">
        <v>17</v>
      </c>
      <c r="B8" s="15"/>
      <c r="C8" s="2">
        <v>86.505099999999999</v>
      </c>
      <c r="D8" s="2">
        <v>79.090299999999999</v>
      </c>
      <c r="E8" s="2">
        <v>174.24119999999999</v>
      </c>
      <c r="F8" s="2">
        <v>86.505099999999999</v>
      </c>
      <c r="G8" s="2">
        <v>79.090299999999999</v>
      </c>
      <c r="H8" s="2">
        <v>174.24119999999999</v>
      </c>
      <c r="L8" s="15" t="s">
        <v>31</v>
      </c>
      <c r="M8" s="15"/>
      <c r="N8" s="15"/>
      <c r="O8" s="5">
        <v>200</v>
      </c>
    </row>
    <row r="9" spans="1:15" x14ac:dyDescent="0.35">
      <c r="A9" s="15" t="s">
        <v>18</v>
      </c>
      <c r="B9" s="15"/>
      <c r="C9" s="2">
        <v>175</v>
      </c>
      <c r="D9" s="2">
        <v>189.9</v>
      </c>
      <c r="E9" s="2">
        <v>173</v>
      </c>
      <c r="F9" s="2">
        <v>111.3</v>
      </c>
      <c r="G9" s="5">
        <v>75.900000000000006</v>
      </c>
      <c r="H9" s="5">
        <v>32.5</v>
      </c>
      <c r="L9" s="15" t="s">
        <v>30</v>
      </c>
      <c r="M9" s="15"/>
      <c r="N9" s="15"/>
      <c r="O9" s="5">
        <v>1.25</v>
      </c>
    </row>
    <row r="10" spans="1:15" x14ac:dyDescent="0.35">
      <c r="A10" s="16" t="s">
        <v>22</v>
      </c>
      <c r="B10" s="16"/>
      <c r="C10" s="11">
        <f>((C8-C9)/C9)*-100</f>
        <v>50.568514285714286</v>
      </c>
      <c r="D10" s="11">
        <f>((D8-D9)/D9)*-100</f>
        <v>58.351606108478151</v>
      </c>
      <c r="E10" s="11">
        <f>((E8-E9)/E9)*100</f>
        <v>0.71745664739883941</v>
      </c>
      <c r="F10" s="12">
        <v>22.28</v>
      </c>
      <c r="G10" s="13">
        <v>4.2</v>
      </c>
      <c r="H10" s="13">
        <v>436.12</v>
      </c>
      <c r="L10" s="15" t="s">
        <v>29</v>
      </c>
      <c r="M10" s="15"/>
      <c r="N10" s="15"/>
      <c r="O10" s="5">
        <v>0.6</v>
      </c>
    </row>
    <row r="11" spans="1:15" x14ac:dyDescent="0.35">
      <c r="A11" s="15" t="s">
        <v>39</v>
      </c>
      <c r="B11" s="15"/>
      <c r="C11" s="5">
        <v>0.1</v>
      </c>
      <c r="D11" s="5">
        <v>0.1</v>
      </c>
      <c r="E11" s="5">
        <v>0.1</v>
      </c>
      <c r="F11" s="5">
        <v>0.1</v>
      </c>
      <c r="G11" s="5">
        <v>0.1</v>
      </c>
      <c r="H11" s="5">
        <v>0.1</v>
      </c>
      <c r="I11" s="6"/>
      <c r="J11" s="6"/>
      <c r="K11" s="6"/>
      <c r="L11" s="15" t="s">
        <v>40</v>
      </c>
      <c r="M11" s="15"/>
      <c r="N11" s="15"/>
      <c r="O11" s="5">
        <f>O9/O10</f>
        <v>2.0833333333333335</v>
      </c>
    </row>
    <row r="12" spans="1:15" x14ac:dyDescent="0.35">
      <c r="I12" s="6"/>
      <c r="J12" s="6"/>
      <c r="K12" s="6"/>
    </row>
    <row r="13" spans="1:15" x14ac:dyDescent="0.35">
      <c r="A13" s="17" t="s">
        <v>32</v>
      </c>
      <c r="B13" s="17"/>
      <c r="C13" s="2" t="s">
        <v>11</v>
      </c>
      <c r="D13" s="2" t="s">
        <v>2</v>
      </c>
      <c r="E13" s="2" t="s">
        <v>3</v>
      </c>
      <c r="F13" s="2" t="s">
        <v>23</v>
      </c>
      <c r="G13" s="2" t="s">
        <v>24</v>
      </c>
      <c r="H13" s="2" t="s">
        <v>25</v>
      </c>
      <c r="I13" s="6"/>
      <c r="J13" s="6"/>
      <c r="K13" s="6"/>
      <c r="L13" s="6"/>
      <c r="M13" s="4"/>
    </row>
    <row r="14" spans="1:15" x14ac:dyDescent="0.35">
      <c r="A14" s="17"/>
      <c r="B14" s="17"/>
      <c r="C14" s="2">
        <v>100</v>
      </c>
      <c r="D14" s="5">
        <v>50</v>
      </c>
      <c r="E14" s="5">
        <v>76.92</v>
      </c>
      <c r="F14" s="5">
        <v>40</v>
      </c>
      <c r="G14" s="5">
        <v>30</v>
      </c>
      <c r="H14" s="5">
        <v>54.54</v>
      </c>
      <c r="I14" s="6"/>
      <c r="J14" s="6"/>
      <c r="K14" s="6"/>
      <c r="L14" s="6"/>
      <c r="M14" s="4"/>
    </row>
    <row r="15" spans="1:15" x14ac:dyDescent="0.35">
      <c r="A15" s="15" t="s">
        <v>20</v>
      </c>
      <c r="B15" s="15"/>
      <c r="C15" s="5">
        <v>14.061</v>
      </c>
      <c r="D15" s="5">
        <v>14.06</v>
      </c>
      <c r="E15" s="5">
        <v>6.3273999999999999</v>
      </c>
      <c r="F15" s="5">
        <v>8.4329999999999998</v>
      </c>
      <c r="G15" s="5">
        <v>61.8</v>
      </c>
      <c r="H15" s="5">
        <v>21.08</v>
      </c>
      <c r="I15" s="6"/>
      <c r="J15" s="6"/>
      <c r="K15" s="6"/>
      <c r="L15" s="6"/>
      <c r="M15" s="4"/>
    </row>
    <row r="16" spans="1:15" x14ac:dyDescent="0.35">
      <c r="A16" s="15" t="s">
        <v>21</v>
      </c>
      <c r="B16" s="15"/>
      <c r="C16" s="8">
        <v>3.44E-2</v>
      </c>
      <c r="D16" s="8">
        <v>6.2899999999999998E-2</v>
      </c>
      <c r="E16" s="9">
        <v>6.2E-2</v>
      </c>
      <c r="F16" s="5">
        <v>2.07E-2</v>
      </c>
      <c r="G16" s="5">
        <v>1.38E-2</v>
      </c>
      <c r="H16" s="5">
        <v>2.07E-2</v>
      </c>
      <c r="I16" s="6"/>
      <c r="J16" s="6"/>
      <c r="K16" s="6"/>
      <c r="L16" s="6"/>
      <c r="M16" s="4"/>
    </row>
    <row r="17" spans="1:13" x14ac:dyDescent="0.35">
      <c r="A17" s="6"/>
      <c r="B17" s="6"/>
      <c r="C17" s="6"/>
      <c r="D17" s="6"/>
      <c r="E17" s="4"/>
      <c r="I17" s="6"/>
      <c r="J17" s="6"/>
      <c r="K17" s="6"/>
      <c r="L17" s="6"/>
      <c r="M17" s="4"/>
    </row>
    <row r="18" spans="1:13" x14ac:dyDescent="0.35">
      <c r="A18" s="15" t="s">
        <v>33</v>
      </c>
      <c r="B18" s="15"/>
      <c r="C18" s="15"/>
      <c r="D18" s="15"/>
      <c r="I18" s="15" t="s">
        <v>34</v>
      </c>
      <c r="J18" s="15"/>
      <c r="K18" s="15"/>
      <c r="L18" s="15"/>
      <c r="M18" s="4"/>
    </row>
    <row r="19" spans="1:13" x14ac:dyDescent="0.35">
      <c r="A19" s="1" t="s">
        <v>4</v>
      </c>
      <c r="B19" s="15" t="s">
        <v>26</v>
      </c>
      <c r="C19" s="15"/>
      <c r="D19" s="15"/>
      <c r="I19" s="1" t="s">
        <v>36</v>
      </c>
      <c r="J19" s="15" t="s">
        <v>26</v>
      </c>
      <c r="K19" s="15"/>
      <c r="L19" s="15"/>
    </row>
    <row r="20" spans="1:13" x14ac:dyDescent="0.35">
      <c r="A20" s="2" t="s">
        <v>0</v>
      </c>
      <c r="B20" s="3" t="s">
        <v>1</v>
      </c>
      <c r="C20" s="2" t="s">
        <v>2</v>
      </c>
      <c r="D20" s="2" t="s">
        <v>3</v>
      </c>
      <c r="E20" s="4"/>
      <c r="F20" s="4"/>
      <c r="G20" s="4"/>
      <c r="I20" s="2" t="s">
        <v>0</v>
      </c>
      <c r="J20" s="3" t="s">
        <v>23</v>
      </c>
      <c r="K20" s="2" t="s">
        <v>24</v>
      </c>
      <c r="L20" s="2" t="s">
        <v>25</v>
      </c>
    </row>
    <row r="21" spans="1:13" x14ac:dyDescent="0.35">
      <c r="A21" s="1" t="s">
        <v>6</v>
      </c>
      <c r="B21" s="7">
        <v>1.1000000000000001</v>
      </c>
      <c r="C21" s="2">
        <v>0.6</v>
      </c>
      <c r="D21" s="2">
        <v>0.2</v>
      </c>
      <c r="E21" s="4"/>
      <c r="H21" s="4"/>
      <c r="I21" s="1" t="s">
        <v>6</v>
      </c>
      <c r="J21" s="7">
        <v>1.2</v>
      </c>
      <c r="K21" s="2">
        <v>0.6</v>
      </c>
      <c r="L21" s="2">
        <v>0.2</v>
      </c>
    </row>
    <row r="22" spans="1:13" x14ac:dyDescent="0.35">
      <c r="A22" s="1" t="s">
        <v>7</v>
      </c>
      <c r="B22" s="7">
        <v>1.5</v>
      </c>
      <c r="C22" s="2">
        <v>0.6</v>
      </c>
      <c r="D22" s="2">
        <v>0.3</v>
      </c>
      <c r="E22" s="4"/>
      <c r="I22" s="1" t="s">
        <v>7</v>
      </c>
      <c r="J22" s="7">
        <v>1.7</v>
      </c>
      <c r="K22" s="2">
        <v>0.7</v>
      </c>
      <c r="L22" s="2">
        <v>0.34</v>
      </c>
    </row>
    <row r="23" spans="1:13" x14ac:dyDescent="0.35">
      <c r="A23" s="1" t="s">
        <v>19</v>
      </c>
      <c r="B23" s="5">
        <v>30.76</v>
      </c>
      <c r="C23" s="5">
        <v>0</v>
      </c>
      <c r="D23" s="5">
        <v>40</v>
      </c>
      <c r="E23" s="6"/>
      <c r="I23" s="1" t="s">
        <v>19</v>
      </c>
      <c r="J23" s="5">
        <v>34.4</v>
      </c>
      <c r="K23" s="5">
        <v>15.3</v>
      </c>
      <c r="L23" s="5">
        <v>51.8</v>
      </c>
    </row>
    <row r="25" spans="1:13" x14ac:dyDescent="0.35">
      <c r="A25" s="1" t="s">
        <v>9</v>
      </c>
      <c r="B25" s="15" t="s">
        <v>27</v>
      </c>
      <c r="C25" s="15"/>
      <c r="D25" s="15"/>
      <c r="I25" s="1" t="s">
        <v>37</v>
      </c>
      <c r="J25" s="15" t="s">
        <v>27</v>
      </c>
      <c r="K25" s="15"/>
      <c r="L25" s="15"/>
    </row>
    <row r="26" spans="1:13" x14ac:dyDescent="0.35">
      <c r="A26" s="2" t="s">
        <v>0</v>
      </c>
      <c r="B26" s="2" t="s">
        <v>1</v>
      </c>
      <c r="C26" s="2" t="s">
        <v>2</v>
      </c>
      <c r="D26" s="2" t="s">
        <v>3</v>
      </c>
      <c r="E26" s="4"/>
      <c r="I26" s="2" t="s">
        <v>0</v>
      </c>
      <c r="J26" s="2" t="s">
        <v>35</v>
      </c>
      <c r="K26" s="2" t="s">
        <v>24</v>
      </c>
      <c r="L26" s="2" t="s">
        <v>25</v>
      </c>
      <c r="M26" s="4"/>
    </row>
    <row r="27" spans="1:13" x14ac:dyDescent="0.35">
      <c r="A27" s="1" t="s">
        <v>15</v>
      </c>
      <c r="B27" s="5">
        <v>1.5</v>
      </c>
      <c r="C27" s="5">
        <v>0.6</v>
      </c>
      <c r="D27" s="5">
        <v>0.3</v>
      </c>
      <c r="E27" s="6"/>
      <c r="I27" s="1" t="s">
        <v>15</v>
      </c>
      <c r="J27" s="5">
        <v>1.7</v>
      </c>
      <c r="K27" s="5">
        <v>0.7</v>
      </c>
      <c r="L27" s="5">
        <v>0.34</v>
      </c>
      <c r="M27" s="4"/>
    </row>
    <row r="28" spans="1:13" x14ac:dyDescent="0.35">
      <c r="A28" s="1" t="s">
        <v>7</v>
      </c>
      <c r="B28" s="5">
        <v>2.2000000000000002</v>
      </c>
      <c r="C28" s="5">
        <v>0.9</v>
      </c>
      <c r="D28" s="5">
        <v>0.4</v>
      </c>
      <c r="E28" s="6"/>
      <c r="I28" s="1" t="s">
        <v>7</v>
      </c>
      <c r="J28" s="5">
        <v>1.75</v>
      </c>
      <c r="K28" s="5">
        <v>0.75</v>
      </c>
      <c r="L28" s="5">
        <v>0.34</v>
      </c>
      <c r="M28" s="4"/>
    </row>
    <row r="29" spans="1:13" x14ac:dyDescent="0.35">
      <c r="A29" s="1" t="s">
        <v>19</v>
      </c>
      <c r="B29" s="5">
        <v>37.83</v>
      </c>
      <c r="C29" s="5">
        <v>40</v>
      </c>
      <c r="D29" s="5">
        <v>28.57</v>
      </c>
      <c r="E29" s="6"/>
      <c r="I29" s="1" t="s">
        <v>19</v>
      </c>
      <c r="J29" s="5">
        <v>2.89</v>
      </c>
      <c r="K29" s="5">
        <v>6.89</v>
      </c>
      <c r="L29" s="5">
        <v>0</v>
      </c>
      <c r="M29" s="6"/>
    </row>
    <row r="31" spans="1:13" x14ac:dyDescent="0.35">
      <c r="A31" s="1" t="s">
        <v>8</v>
      </c>
      <c r="B31" s="15" t="s">
        <v>28</v>
      </c>
      <c r="C31" s="15"/>
      <c r="D31" s="15"/>
      <c r="E31" s="6"/>
      <c r="I31" s="1" t="s">
        <v>38</v>
      </c>
      <c r="J31" s="15" t="s">
        <v>28</v>
      </c>
      <c r="K31" s="15"/>
      <c r="L31" s="15"/>
    </row>
    <row r="32" spans="1:13" x14ac:dyDescent="0.35">
      <c r="A32" s="2" t="s">
        <v>0</v>
      </c>
      <c r="B32" s="2" t="s">
        <v>1</v>
      </c>
      <c r="C32" s="2" t="s">
        <v>2</v>
      </c>
      <c r="D32" s="2" t="s">
        <v>3</v>
      </c>
      <c r="E32" s="4"/>
      <c r="I32" s="2" t="s">
        <v>0</v>
      </c>
      <c r="J32" s="2" t="s">
        <v>23</v>
      </c>
      <c r="K32" s="2" t="s">
        <v>24</v>
      </c>
      <c r="L32" s="2" t="s">
        <v>25</v>
      </c>
      <c r="M32" s="4"/>
    </row>
    <row r="33" spans="1:13" x14ac:dyDescent="0.35">
      <c r="A33" s="1" t="s">
        <v>15</v>
      </c>
      <c r="B33" s="2">
        <v>2.2000000000000002</v>
      </c>
      <c r="C33" s="2">
        <v>0.9</v>
      </c>
      <c r="D33" s="2">
        <v>0.4</v>
      </c>
      <c r="E33" s="4"/>
      <c r="I33" s="1" t="s">
        <v>15</v>
      </c>
      <c r="J33" s="2">
        <v>1.75</v>
      </c>
      <c r="K33" s="2">
        <v>0.75</v>
      </c>
      <c r="L33" s="2">
        <v>0.34</v>
      </c>
      <c r="M33" s="4"/>
    </row>
    <row r="34" spans="1:13" x14ac:dyDescent="0.35">
      <c r="A34" s="1" t="s">
        <v>7</v>
      </c>
      <c r="B34" s="2">
        <v>2.2000000000000002</v>
      </c>
      <c r="C34" s="2">
        <v>1</v>
      </c>
      <c r="D34" s="2">
        <v>0.45</v>
      </c>
      <c r="E34" s="4"/>
      <c r="I34" s="1" t="s">
        <v>7</v>
      </c>
      <c r="J34" s="2">
        <v>1.8</v>
      </c>
      <c r="K34" s="2">
        <v>0.82</v>
      </c>
      <c r="L34" s="2">
        <v>0.35</v>
      </c>
      <c r="M34" s="4"/>
    </row>
    <row r="35" spans="1:13" x14ac:dyDescent="0.35">
      <c r="A35" s="11" t="s">
        <v>19</v>
      </c>
      <c r="B35" s="12">
        <v>0</v>
      </c>
      <c r="C35" s="2">
        <v>10.52</v>
      </c>
      <c r="D35" s="2">
        <v>11.76</v>
      </c>
      <c r="E35" s="4"/>
      <c r="I35" s="1" t="s">
        <v>19</v>
      </c>
      <c r="J35" s="2">
        <v>2.81</v>
      </c>
      <c r="K35" s="2">
        <v>8.9</v>
      </c>
      <c r="L35" s="2">
        <v>2.89</v>
      </c>
      <c r="M35" s="6"/>
    </row>
    <row r="36" spans="1:13" x14ac:dyDescent="0.35">
      <c r="A36" s="10"/>
      <c r="B36" s="10"/>
    </row>
  </sheetData>
  <mergeCells count="26">
    <mergeCell ref="L8:N8"/>
    <mergeCell ref="L9:N9"/>
    <mergeCell ref="L11:N11"/>
    <mergeCell ref="B25:D25"/>
    <mergeCell ref="J19:L19"/>
    <mergeCell ref="J25:L25"/>
    <mergeCell ref="A16:B16"/>
    <mergeCell ref="A13:B14"/>
    <mergeCell ref="A15:B15"/>
    <mergeCell ref="B19:D19"/>
    <mergeCell ref="L10:N10"/>
    <mergeCell ref="A11:B11"/>
    <mergeCell ref="J31:L31"/>
    <mergeCell ref="A18:D18"/>
    <mergeCell ref="I18:L18"/>
    <mergeCell ref="B31:D31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O'Hara</dc:creator>
  <cp:lastModifiedBy>Jack</cp:lastModifiedBy>
  <dcterms:created xsi:type="dcterms:W3CDTF">2023-05-04T13:39:58Z</dcterms:created>
  <dcterms:modified xsi:type="dcterms:W3CDTF">2025-12-15T14:04:25Z</dcterms:modified>
</cp:coreProperties>
</file>